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工具\"/>
    </mc:Choice>
  </mc:AlternateContent>
  <xr:revisionPtr revIDLastSave="0" documentId="13_ncr:1_{91C83DDE-F4DE-4661-96F8-E0B90282ADFF}" xr6:coauthVersionLast="47" xr6:coauthVersionMax="47" xr10:uidLastSave="{00000000-0000-0000-0000-000000000000}"/>
  <bookViews>
    <workbookView xWindow="-120" yWindow="-120" windowWidth="29040" windowHeight="15720" xr2:uid="{00000000-000D-0000-FFFF-FFFF00000000}"/>
  </bookViews>
  <sheets>
    <sheet name="資料欄" sheetId="1" r:id="rId1"/>
    <sheet name="結果" sheetId="2" r:id="rId2"/>
    <sheet name="相關規定"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K29" i="1"/>
  <c r="K28" i="1"/>
  <c r="K27" i="1"/>
  <c r="K26" i="1"/>
  <c r="K25" i="1"/>
  <c r="K24" i="1"/>
  <c r="K23" i="1"/>
  <c r="K22" i="1"/>
  <c r="K21" i="1"/>
  <c r="K20" i="1"/>
  <c r="K19" i="1"/>
  <c r="K18" i="1"/>
  <c r="K17" i="1"/>
  <c r="K16" i="1"/>
  <c r="K15" i="1"/>
  <c r="K14" i="1"/>
  <c r="K13" i="1"/>
  <c r="K12" i="1"/>
  <c r="K11" i="1"/>
  <c r="K10" i="1"/>
  <c r="K9" i="1"/>
  <c r="K8" i="1"/>
  <c r="K7" i="1"/>
  <c r="K6" i="1"/>
  <c r="K5" i="1"/>
  <c r="K4" i="1"/>
  <c r="K3"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2" i="1"/>
  <c r="C16" i="2"/>
  <c r="C15" i="2"/>
  <c r="C13" i="2"/>
  <c r="C12" i="2"/>
  <c r="C10" i="2"/>
  <c r="C9" i="2"/>
  <c r="C5" i="2"/>
  <c r="C4" i="2"/>
  <c r="C2" i="2"/>
  <c r="D3" i="1" l="1"/>
  <c r="C3" i="2" s="1"/>
  <c r="C6" i="2" s="1"/>
  <c r="C11" i="2"/>
  <c r="D11" i="2" s="1"/>
  <c r="C14" i="2"/>
  <c r="D14" i="2" s="1"/>
  <c r="C17" i="2"/>
  <c r="D17" i="2" s="1"/>
</calcChain>
</file>

<file path=xl/sharedStrings.xml><?xml version="1.0" encoding="utf-8"?>
<sst xmlns="http://schemas.openxmlformats.org/spreadsheetml/2006/main" count="107" uniqueCount="60">
  <si>
    <t>建物部分</t>
    <phoneticPr fontId="1" type="noConversion"/>
  </si>
  <si>
    <t>有幾格?</t>
    <phoneticPr fontId="1" type="noConversion"/>
  </si>
  <si>
    <t>非屬建物</t>
    <phoneticPr fontId="1" type="noConversion"/>
  </si>
  <si>
    <t>未滿200</t>
    <phoneticPr fontId="1" type="noConversion"/>
  </si>
  <si>
    <t>200-999</t>
    <phoneticPr fontId="1" type="noConversion"/>
  </si>
  <si>
    <t>1000-9999</t>
    <phoneticPr fontId="1" type="noConversion"/>
  </si>
  <si>
    <t>各閉合區面積各幾格?</t>
    <phoneticPr fontId="1" type="noConversion"/>
  </si>
  <si>
    <t>以各閉合區面積計算並填入</t>
    <phoneticPr fontId="1" type="noConversion"/>
  </si>
  <si>
    <t>總共幾個點?</t>
    <phoneticPr fontId="1" type="noConversion"/>
  </si>
  <si>
    <t>位置費</t>
    <phoneticPr fontId="1" type="noConversion"/>
  </si>
  <si>
    <t>注意!! 多分割方案需展示則位置費不必計收</t>
    <phoneticPr fontId="1" type="noConversion"/>
  </si>
  <si>
    <t>分割方案</t>
    <phoneticPr fontId="1" type="noConversion"/>
  </si>
  <si>
    <t>面積費</t>
    <phoneticPr fontId="1" type="noConversion"/>
  </si>
  <si>
    <t>基本費</t>
    <phoneticPr fontId="1" type="noConversion"/>
  </si>
  <si>
    <t>施測費</t>
    <phoneticPr fontId="1" type="noConversion"/>
  </si>
  <si>
    <t>總共幾條線?</t>
    <phoneticPr fontId="1" type="noConversion"/>
  </si>
  <si>
    <t>各地號分割前面積各幾筆?</t>
    <phoneticPr fontId="1" type="noConversion"/>
  </si>
  <si>
    <t>計算結果</t>
    <phoneticPr fontId="1" type="noConversion"/>
  </si>
  <si>
    <t>甲案</t>
    <phoneticPr fontId="1" type="noConversion"/>
  </si>
  <si>
    <t>乙案</t>
    <phoneticPr fontId="1" type="noConversion"/>
  </si>
  <si>
    <t>丙案</t>
    <phoneticPr fontId="1" type="noConversion"/>
  </si>
  <si>
    <t>建物收費部分</t>
    <phoneticPr fontId="1" type="noConversion"/>
  </si>
  <si>
    <t>非屬建物部分</t>
    <phoneticPr fontId="1" type="noConversion"/>
  </si>
  <si>
    <t>現況測量費小計</t>
    <phoneticPr fontId="1" type="noConversion"/>
  </si>
  <si>
    <t>共</t>
    <phoneticPr fontId="1" type="noConversion"/>
  </si>
  <si>
    <t>共割方案費用</t>
    <phoneticPr fontId="1" type="noConversion"/>
  </si>
  <si>
    <t>填入下方</t>
    <phoneticPr fontId="1" type="noConversion"/>
  </si>
  <si>
    <t>甲案費用小計</t>
    <phoneticPr fontId="1" type="noConversion"/>
  </si>
  <si>
    <t>乙案費用小計</t>
    <phoneticPr fontId="1" type="noConversion"/>
  </si>
  <si>
    <t>丙案費用小計</t>
    <phoneticPr fontId="1" type="noConversion"/>
  </si>
  <si>
    <r>
      <t>一個</t>
    </r>
    <r>
      <rPr>
        <sz val="12"/>
        <color rgb="FFFF0000"/>
        <rFont val="微軟正黑體"/>
        <family val="2"/>
        <charset val="136"/>
      </rPr>
      <t>閉合區</t>
    </r>
    <r>
      <rPr>
        <sz val="12"/>
        <color theme="1"/>
        <rFont val="微軟正黑體"/>
        <family val="2"/>
        <charset val="136"/>
      </rPr>
      <t>為一</t>
    </r>
    <r>
      <rPr>
        <sz val="12"/>
        <color rgb="FFFF0000"/>
        <rFont val="微軟正黑體"/>
        <family val="2"/>
        <charset val="136"/>
      </rPr>
      <t>格</t>
    </r>
    <phoneticPr fontId="1" type="noConversion"/>
  </si>
  <si>
    <t>判決確定使用下欄金額</t>
    <phoneticPr fontId="1" type="noConversion"/>
  </si>
  <si>
    <t>現況測量收費</t>
    <phoneticPr fontId="1" type="noConversion"/>
  </si>
  <si>
    <t>土地複丈費及建築改良物測量費收費標準</t>
  </si>
  <si>
    <t>各級法院或法務部行政執行署所屬行政執行分署（以下簡稱行政執行分署）囑託辦理複丈及測量業務，其費用除前二條規定外，依下列規定分別計收：</t>
  </si>
  <si>
    <t>各級法院或行政執行分署囑託限期在登記機關收件之日起十五日內辦理者，其費用加倍計收。</t>
  </si>
  <si>
    <t>第 4 條</t>
    <phoneticPr fontId="1" type="noConversion"/>
  </si>
  <si>
    <r>
      <t>一、測量及繪製共有物分割方案，依</t>
    </r>
    <r>
      <rPr>
        <b/>
        <sz val="12"/>
        <color theme="1"/>
        <rFont val="微軟正黑體"/>
        <family val="2"/>
        <charset val="136"/>
      </rPr>
      <t>附表一項次四</t>
    </r>
    <r>
      <rPr>
        <sz val="12"/>
        <color theme="1"/>
        <rFont val="微軟正黑體"/>
        <family val="2"/>
        <charset val="136"/>
      </rPr>
      <t>；其有多項分割方案，</t>
    </r>
    <r>
      <rPr>
        <b/>
        <sz val="12"/>
        <color rgb="FFFF0000"/>
        <rFont val="微軟正黑體"/>
        <family val="2"/>
        <charset val="136"/>
      </rPr>
      <t>基本費僅收一次</t>
    </r>
    <r>
      <rPr>
        <sz val="12"/>
        <color theme="1"/>
        <rFont val="微軟正黑體"/>
        <family val="2"/>
        <charset val="136"/>
      </rPr>
      <t>，施測費分別計收。</t>
    </r>
    <phoneticPr fontId="1" type="noConversion"/>
  </si>
  <si>
    <r>
      <t>二、測量土地現況之地上物位置，依</t>
    </r>
    <r>
      <rPr>
        <b/>
        <sz val="12"/>
        <color theme="1"/>
        <rFont val="微軟正黑體"/>
        <family val="2"/>
        <charset val="136"/>
      </rPr>
      <t>附表二項次一</t>
    </r>
    <r>
      <rPr>
        <sz val="12"/>
        <color theme="1"/>
        <rFont val="微軟正黑體"/>
        <family val="2"/>
        <charset val="136"/>
      </rPr>
      <t>之建物位置圖測量費；需另計算地上物面積，依同項次之建物平面圖測量費。</t>
    </r>
    <phoneticPr fontId="1" type="noConversion"/>
  </si>
  <si>
    <r>
      <t>三、未登記建物查封測量，依</t>
    </r>
    <r>
      <rPr>
        <b/>
        <sz val="12"/>
        <color theme="1"/>
        <rFont val="微軟正黑體"/>
        <family val="2"/>
        <charset val="136"/>
      </rPr>
      <t>附表二項次一</t>
    </r>
    <r>
      <rPr>
        <sz val="12"/>
        <color theme="1"/>
        <rFont val="微軟正黑體"/>
        <family val="2"/>
        <charset val="136"/>
      </rPr>
      <t>。</t>
    </r>
    <phoneticPr fontId="1" type="noConversion"/>
  </si>
  <si>
    <t>囑託辦理非屬建築改良物（如農作改良物、電纜線及油管）之位置與面積測量作業，收費方式如下：</t>
  </si>
  <si>
    <r>
      <t>(一)位置測量費：按囑託測量物件之位置範圍(</t>
    </r>
    <r>
      <rPr>
        <b/>
        <sz val="12"/>
        <color theme="1"/>
        <rFont val="微軟正黑體"/>
        <family val="2"/>
        <charset val="136"/>
      </rPr>
      <t>面積</t>
    </r>
    <r>
      <rPr>
        <sz val="12"/>
        <color theme="1"/>
        <rFont val="微軟正黑體"/>
        <family val="2"/>
        <charset val="136"/>
      </rPr>
      <t>)，依「土地複丈費及建築改良物測量費收費標準」</t>
    </r>
    <r>
      <rPr>
        <b/>
        <sz val="12"/>
        <color theme="1"/>
        <rFont val="微軟正黑體"/>
        <family val="2"/>
        <charset val="136"/>
      </rPr>
      <t>附表一項次1</t>
    </r>
    <r>
      <rPr>
        <sz val="12"/>
        <color theme="1"/>
        <rFont val="微軟正黑體"/>
        <family val="2"/>
        <charset val="136"/>
      </rPr>
      <t>-土地鑑界複丈費分別計收基本費及施測費；基本費以</t>
    </r>
    <r>
      <rPr>
        <b/>
        <sz val="12"/>
        <color theme="1"/>
        <rFont val="微軟正黑體"/>
        <family val="2"/>
        <charset val="136"/>
      </rPr>
      <t>每個位置之面積</t>
    </r>
    <r>
      <rPr>
        <sz val="12"/>
        <color theme="1"/>
        <rFont val="微軟正黑體"/>
        <family val="2"/>
        <charset val="136"/>
      </rPr>
      <t>為單位，分級計收；施測費以囑託測量位置之鑑定點，每</t>
    </r>
    <r>
      <rPr>
        <b/>
        <sz val="12"/>
        <color theme="1"/>
        <rFont val="微軟正黑體"/>
        <family val="2"/>
        <charset val="136"/>
      </rPr>
      <t>5個點</t>
    </r>
    <r>
      <rPr>
        <sz val="12"/>
        <color theme="1"/>
        <rFont val="微軟正黑體"/>
        <family val="2"/>
        <charset val="136"/>
      </rPr>
      <t>位為單位，不足5個點，以5個點計。</t>
    </r>
    <phoneticPr fontId="1" type="noConversion"/>
  </si>
  <si>
    <r>
      <t>(二)面積測量費：按囑託測量物件需要計算面積為單位，依「土地複丈費及建築改良物測量費收費標準」</t>
    </r>
    <r>
      <rPr>
        <b/>
        <sz val="12"/>
        <color theme="1"/>
        <rFont val="微軟正黑體"/>
        <family val="2"/>
        <charset val="136"/>
      </rPr>
      <t>附表一附註3</t>
    </r>
    <r>
      <rPr>
        <sz val="12"/>
        <color theme="1"/>
        <rFont val="微軟正黑體"/>
        <family val="2"/>
        <charset val="136"/>
      </rPr>
      <t>-</t>
    </r>
    <r>
      <rPr>
        <b/>
        <sz val="12"/>
        <color theme="1"/>
        <rFont val="微軟正黑體"/>
        <family val="2"/>
        <charset val="136"/>
      </rPr>
      <t>每個折點</t>
    </r>
    <r>
      <rPr>
        <sz val="12"/>
        <color theme="1"/>
        <rFont val="微軟正黑體"/>
        <family val="2"/>
        <charset val="136"/>
      </rPr>
      <t>數以新臺幣200元計收；若需要計算面積之物件為</t>
    </r>
    <r>
      <rPr>
        <b/>
        <sz val="12"/>
        <color theme="1"/>
        <rFont val="微軟正黑體"/>
        <family val="2"/>
        <charset val="136"/>
      </rPr>
      <t>圓圖形者，以1點</t>
    </r>
    <r>
      <rPr>
        <sz val="12"/>
        <color theme="1"/>
        <rFont val="微軟正黑體"/>
        <family val="2"/>
        <charset val="136"/>
      </rPr>
      <t>計之。</t>
    </r>
    <phoneticPr fontId="1" type="noConversion"/>
  </si>
  <si>
    <r>
      <t>(三)若囑託測量物件成果為</t>
    </r>
    <r>
      <rPr>
        <b/>
        <sz val="12"/>
        <color theme="1"/>
        <rFont val="微軟正黑體"/>
        <family val="2"/>
        <charset val="136"/>
      </rPr>
      <t>多項方案</t>
    </r>
    <r>
      <rPr>
        <sz val="12"/>
        <color theme="1"/>
        <rFont val="微軟正黑體"/>
        <family val="2"/>
        <charset val="136"/>
      </rPr>
      <t>者，依「土地複丈費及建築改良物測量費收費標準」第4條第1項第1款規定，</t>
    </r>
    <r>
      <rPr>
        <b/>
        <sz val="12"/>
        <color theme="1"/>
        <rFont val="微軟正黑體"/>
        <family val="2"/>
        <charset val="136"/>
      </rPr>
      <t>其位置測量基本費僅收1次</t>
    </r>
    <r>
      <rPr>
        <sz val="12"/>
        <color theme="1"/>
        <rFont val="微軟正黑體"/>
        <family val="2"/>
        <charset val="136"/>
      </rPr>
      <t>，施測費則依各項方案分別計收。</t>
    </r>
    <phoneticPr fontId="1" type="noConversion"/>
  </si>
  <si>
    <t>全部閉合區總點數加總(圓形僅算一點)</t>
    <phoneticPr fontId="1" type="noConversion"/>
  </si>
  <si>
    <t>第 6 條</t>
  </si>
  <si>
    <t>二、依直轄市縣（市）不動產糾紛調處委員會設置及調處辦法作成調處確定結果所申請之複丈。</t>
  </si>
  <si>
    <t>一、依法院確定判決書或與法院確定判決有同一效力之證明文件所申請之複丈。</t>
    <phoneticPr fontId="1" type="noConversion"/>
  </si>
  <si>
    <r>
      <t>登記機關受理下列複丈，得依已核定之測量成果辦理，無需實地測量者，依本標準規定之收費數額</t>
    </r>
    <r>
      <rPr>
        <sz val="12"/>
        <color rgb="FFFF0000"/>
        <rFont val="微軟正黑體"/>
        <family val="2"/>
        <charset val="136"/>
      </rPr>
      <t>半數計收</t>
    </r>
    <r>
      <rPr>
        <sz val="12"/>
        <color theme="1"/>
        <rFont val="微軟正黑體"/>
        <family val="2"/>
        <charset val="136"/>
      </rPr>
      <t>：</t>
    </r>
    <phoneticPr fontId="1" type="noConversion"/>
  </si>
  <si>
    <t>非屬建物測量收費內規(依據114年11月04日「受理囑託非屬建築物之位置與面積測量」收費方式會議 紀錄)</t>
    <phoneticPr fontId="1" type="noConversion"/>
  </si>
  <si>
    <t>面積費計算</t>
    <phoneticPr fontId="1" type="noConversion"/>
  </si>
  <si>
    <t>各多少面積?</t>
    <phoneticPr fontId="1" type="noConversion"/>
  </si>
  <si>
    <t>共幾單位?</t>
    <phoneticPr fontId="1" type="noConversion"/>
  </si>
  <si>
    <r>
      <t>【每</t>
    </r>
    <r>
      <rPr>
        <sz val="12"/>
        <color rgb="FFFF0000"/>
        <rFont val="微軟正黑體"/>
        <family val="2"/>
        <charset val="136"/>
      </rPr>
      <t>層</t>
    </r>
    <r>
      <rPr>
        <sz val="12"/>
        <color theme="1"/>
        <rFont val="微軟正黑體"/>
        <family val="2"/>
        <charset val="136"/>
      </rPr>
      <t>每</t>
    </r>
    <r>
      <rPr>
        <sz val="12"/>
        <color rgb="FFFF0000"/>
        <rFont val="微軟正黑體"/>
        <family val="2"/>
        <charset val="136"/>
      </rPr>
      <t>格</t>
    </r>
    <r>
      <rPr>
        <sz val="12"/>
        <color theme="1"/>
        <rFont val="微軟正黑體"/>
        <family val="2"/>
        <charset val="136"/>
      </rPr>
      <t>應單獨分算】</t>
    </r>
    <phoneticPr fontId="1" type="noConversion"/>
  </si>
  <si>
    <r>
      <t>於右側「</t>
    </r>
    <r>
      <rPr>
        <sz val="11"/>
        <color rgb="FFFF0000"/>
        <rFont val="新細明體"/>
        <family val="1"/>
        <charset val="136"/>
        <scheme val="minor"/>
      </rPr>
      <t>面積費計算</t>
    </r>
    <r>
      <rPr>
        <sz val="11"/>
        <color theme="1"/>
        <rFont val="新細明體"/>
        <family val="2"/>
        <scheme val="minor"/>
      </rPr>
      <t>」灰色欄位分別填入</t>
    </r>
    <phoneticPr fontId="1" type="noConversion"/>
  </si>
  <si>
    <t>各有多少面積?(總共?單位)</t>
    <phoneticPr fontId="1" type="noConversion"/>
  </si>
  <si>
    <t>雜項</t>
    <phoneticPr fontId="1" type="noConversion"/>
  </si>
  <si>
    <t>製圖費</t>
    <phoneticPr fontId="1" type="noConversion"/>
  </si>
  <si>
    <t>總共幾張?</t>
    <phoneticPr fontId="1" type="noConversion"/>
  </si>
  <si>
    <t>張數直接照來函打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</si>
</sst>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quot;NT$&quot;#,##0"/>
  </numFmts>
  <fonts count="15" x14ac:knownFonts="1">
    <font>
      <sz val="11"/>
      <color theme="1"/>
      <name val="新細明體"/>
      <family val="2"/>
      <scheme val="minor"/>
    </font>
    <font>
      <sz val="9"/>
      <name val="新細明體"/>
      <family val="3"/>
      <charset val="136"/>
      <scheme val="minor"/>
    </font>
    <font>
      <sz val="12"/>
      <color theme="1"/>
      <name val="微軟正黑體"/>
      <family val="2"/>
      <charset val="136"/>
    </font>
    <font>
      <b/>
      <sz val="12"/>
      <color theme="1"/>
      <name val="微軟正黑體"/>
      <family val="2"/>
      <charset val="136"/>
    </font>
    <font>
      <sz val="12"/>
      <color rgb="FFFF0000"/>
      <name val="微軟正黑體"/>
      <family val="2"/>
      <charset val="136"/>
    </font>
    <font>
      <sz val="20"/>
      <color theme="1"/>
      <name val="微軟正黑體"/>
      <family val="2"/>
      <charset val="136"/>
    </font>
    <font>
      <sz val="20"/>
      <color rgb="FFFF0000"/>
      <name val="微軟正黑體"/>
      <family val="2"/>
      <charset val="136"/>
    </font>
    <font>
      <b/>
      <sz val="20"/>
      <color theme="1"/>
      <name val="微軟正黑體"/>
      <family val="2"/>
      <charset val="136"/>
    </font>
    <font>
      <b/>
      <sz val="20"/>
      <color rgb="FFFF0000"/>
      <name val="微軟正黑體"/>
      <family val="2"/>
      <charset val="136"/>
    </font>
    <font>
      <u/>
      <sz val="11"/>
      <color theme="10"/>
      <name val="新細明體"/>
      <family val="2"/>
      <scheme val="minor"/>
    </font>
    <font>
      <sz val="12"/>
      <color theme="1"/>
      <name val="新細明體"/>
      <family val="1"/>
      <charset val="136"/>
      <scheme val="minor"/>
    </font>
    <font>
      <u/>
      <sz val="12"/>
      <color theme="10"/>
      <name val="微軟正黑體"/>
      <family val="2"/>
      <charset val="136"/>
    </font>
    <font>
      <b/>
      <sz val="12"/>
      <color rgb="FFFF0000"/>
      <name val="微軟正黑體"/>
      <family val="2"/>
      <charset val="136"/>
    </font>
    <font>
      <sz val="11"/>
      <color rgb="FFFF0000"/>
      <name val="新細明體"/>
      <family val="1"/>
      <charset val="136"/>
      <scheme val="minor"/>
    </font>
    <font>
      <sz val="11"/>
      <color rgb="FFFF0000"/>
      <name val="新細明體"/>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97">
    <xf numFmtId="0" fontId="0" fillId="0" borderId="0" xfId="0"/>
    <xf numFmtId="176" fontId="0" fillId="0" borderId="0" xfId="0" applyNumberFormat="1"/>
    <xf numFmtId="0" fontId="3" fillId="0" borderId="4" xfId="0" applyFont="1" applyBorder="1"/>
    <xf numFmtId="0" fontId="2" fillId="0" borderId="0" xfId="0" applyFont="1"/>
    <xf numFmtId="0" fontId="2" fillId="0" borderId="5" xfId="0" applyFont="1" applyBorder="1"/>
    <xf numFmtId="0" fontId="2" fillId="0" borderId="4" xfId="0" applyFont="1" applyBorder="1"/>
    <xf numFmtId="0" fontId="4" fillId="0" borderId="5" xfId="0" applyFont="1" applyBorder="1"/>
    <xf numFmtId="49" fontId="2" fillId="0" borderId="0" xfId="0" applyNumberFormat="1" applyFont="1"/>
    <xf numFmtId="0" fontId="2" fillId="0" borderId="6" xfId="0" applyFont="1" applyBorder="1"/>
    <xf numFmtId="0" fontId="2" fillId="0" borderId="7" xfId="0" applyFont="1" applyBorder="1"/>
    <xf numFmtId="0" fontId="2" fillId="0" borderId="8" xfId="0" applyFont="1" applyBorder="1"/>
    <xf numFmtId="0" fontId="3" fillId="0" borderId="1" xfId="0" applyFont="1" applyBorder="1"/>
    <xf numFmtId="0" fontId="2" fillId="0" borderId="2" xfId="0" applyFont="1" applyBorder="1"/>
    <xf numFmtId="0" fontId="2" fillId="0" borderId="3" xfId="0" applyFont="1" applyBorder="1"/>
    <xf numFmtId="176" fontId="2" fillId="5" borderId="0" xfId="0" applyNumberFormat="1" applyFont="1" applyFill="1" applyProtection="1">
      <protection locked="0"/>
    </xf>
    <xf numFmtId="176" fontId="2" fillId="5" borderId="7" xfId="0" applyNumberFormat="1" applyFont="1" applyFill="1" applyBorder="1" applyProtection="1">
      <protection locked="0"/>
    </xf>
    <xf numFmtId="176" fontId="2" fillId="7" borderId="0" xfId="0" applyNumberFormat="1" applyFont="1" applyFill="1" applyProtection="1">
      <protection locked="0"/>
    </xf>
    <xf numFmtId="176" fontId="2" fillId="7" borderId="7" xfId="0" applyNumberFormat="1" applyFont="1" applyFill="1" applyBorder="1" applyProtection="1">
      <protection locked="0"/>
    </xf>
    <xf numFmtId="176" fontId="2" fillId="6" borderId="0" xfId="0" applyNumberFormat="1" applyFont="1" applyFill="1" applyProtection="1">
      <protection locked="0"/>
    </xf>
    <xf numFmtId="176" fontId="2" fillId="6" borderId="7" xfId="0" applyNumberFormat="1" applyFont="1" applyFill="1" applyBorder="1" applyProtection="1">
      <protection locked="0"/>
    </xf>
    <xf numFmtId="0" fontId="5" fillId="2" borderId="2" xfId="0" applyFont="1" applyFill="1" applyBorder="1"/>
    <xf numFmtId="177" fontId="5" fillId="2" borderId="3" xfId="0" applyNumberFormat="1" applyFont="1" applyFill="1" applyBorder="1"/>
    <xf numFmtId="0" fontId="5" fillId="2" borderId="0" xfId="0" applyFont="1" applyFill="1"/>
    <xf numFmtId="177" fontId="5" fillId="2" borderId="5" xfId="0" applyNumberFormat="1" applyFont="1" applyFill="1" applyBorder="1"/>
    <xf numFmtId="177" fontId="6" fillId="2" borderId="8" xfId="0" applyNumberFormat="1" applyFont="1" applyFill="1" applyBorder="1"/>
    <xf numFmtId="0" fontId="5" fillId="3" borderId="2" xfId="0" applyFont="1" applyFill="1" applyBorder="1"/>
    <xf numFmtId="0" fontId="5" fillId="3" borderId="0" xfId="0" applyFont="1" applyFill="1"/>
    <xf numFmtId="0" fontId="5" fillId="4" borderId="2" xfId="0" applyFont="1" applyFill="1" applyBorder="1"/>
    <xf numFmtId="0" fontId="5" fillId="4" borderId="0" xfId="0" applyFont="1" applyFill="1"/>
    <xf numFmtId="0" fontId="5" fillId="5" borderId="2" xfId="0" applyFont="1" applyFill="1" applyBorder="1"/>
    <xf numFmtId="0" fontId="5" fillId="5" borderId="0" xfId="0" applyFont="1" applyFill="1"/>
    <xf numFmtId="0" fontId="7" fillId="2" borderId="1" xfId="0" applyFont="1" applyFill="1" applyBorder="1"/>
    <xf numFmtId="0" fontId="7" fillId="2" borderId="4" xfId="0" applyFont="1" applyFill="1" applyBorder="1"/>
    <xf numFmtId="0" fontId="8" fillId="2" borderId="6" xfId="0" applyFont="1" applyFill="1" applyBorder="1"/>
    <xf numFmtId="0" fontId="6" fillId="2" borderId="7" xfId="0" applyFont="1" applyFill="1" applyBorder="1"/>
    <xf numFmtId="0" fontId="7" fillId="3" borderId="1" xfId="0" applyFont="1" applyFill="1" applyBorder="1"/>
    <xf numFmtId="0" fontId="7" fillId="3" borderId="4" xfId="0" applyFont="1" applyFill="1" applyBorder="1"/>
    <xf numFmtId="0" fontId="7" fillId="4" borderId="1" xfId="0" applyFont="1" applyFill="1" applyBorder="1"/>
    <xf numFmtId="0" fontId="7" fillId="4" borderId="4" xfId="0" applyFont="1" applyFill="1" applyBorder="1"/>
    <xf numFmtId="0" fontId="7" fillId="5" borderId="1" xfId="0" applyFont="1" applyFill="1" applyBorder="1"/>
    <xf numFmtId="0" fontId="7" fillId="5" borderId="4" xfId="0" applyFont="1" applyFill="1" applyBorder="1"/>
    <xf numFmtId="0" fontId="8" fillId="3" borderId="6" xfId="0" applyFont="1" applyFill="1" applyBorder="1"/>
    <xf numFmtId="0" fontId="6" fillId="3" borderId="7" xfId="0" applyFont="1" applyFill="1" applyBorder="1"/>
    <xf numFmtId="0" fontId="8" fillId="4" borderId="6" xfId="0" applyFont="1" applyFill="1" applyBorder="1"/>
    <xf numFmtId="0" fontId="6" fillId="4" borderId="7" xfId="0" applyFont="1" applyFill="1" applyBorder="1"/>
    <xf numFmtId="0" fontId="8" fillId="5" borderId="6" xfId="0" applyFont="1" applyFill="1" applyBorder="1"/>
    <xf numFmtId="0" fontId="6" fillId="5" borderId="7" xfId="0" applyFont="1" applyFill="1" applyBorder="1"/>
    <xf numFmtId="176" fontId="4" fillId="0" borderId="2" xfId="0" applyNumberFormat="1" applyFont="1" applyBorder="1"/>
    <xf numFmtId="177" fontId="5" fillId="3" borderId="0" xfId="0" applyNumberFormat="1" applyFont="1" applyFill="1"/>
    <xf numFmtId="177" fontId="6" fillId="3" borderId="7" xfId="0" applyNumberFormat="1" applyFont="1" applyFill="1" applyBorder="1"/>
    <xf numFmtId="177" fontId="5" fillId="4" borderId="2" xfId="0" applyNumberFormat="1" applyFont="1" applyFill="1" applyBorder="1"/>
    <xf numFmtId="177" fontId="5" fillId="4" borderId="0" xfId="0" applyNumberFormat="1" applyFont="1" applyFill="1"/>
    <xf numFmtId="177" fontId="6" fillId="4" borderId="7" xfId="0" applyNumberFormat="1" applyFont="1" applyFill="1" applyBorder="1"/>
    <xf numFmtId="177" fontId="5" fillId="5" borderId="2" xfId="0" applyNumberFormat="1" applyFont="1" applyFill="1" applyBorder="1"/>
    <xf numFmtId="177" fontId="5" fillId="5" borderId="0" xfId="0" applyNumberFormat="1" applyFont="1" applyFill="1"/>
    <xf numFmtId="177" fontId="6" fillId="5" borderId="7" xfId="0" applyNumberFormat="1" applyFont="1" applyFill="1" applyBorder="1"/>
    <xf numFmtId="177" fontId="5" fillId="3" borderId="12" xfId="0" applyNumberFormat="1" applyFont="1" applyFill="1" applyBorder="1"/>
    <xf numFmtId="177" fontId="5" fillId="5" borderId="13" xfId="0" applyNumberFormat="1" applyFont="1" applyFill="1" applyBorder="1"/>
    <xf numFmtId="177" fontId="6" fillId="5" borderId="14" xfId="0" applyNumberFormat="1" applyFont="1" applyFill="1" applyBorder="1"/>
    <xf numFmtId="177" fontId="5" fillId="3" borderId="2" xfId="0" applyNumberFormat="1" applyFont="1" applyFill="1" applyBorder="1"/>
    <xf numFmtId="177" fontId="6" fillId="4" borderId="12" xfId="0" applyNumberFormat="1" applyFont="1" applyFill="1" applyBorder="1"/>
    <xf numFmtId="177" fontId="6" fillId="4" borderId="14" xfId="0" applyNumberFormat="1" applyFont="1" applyFill="1" applyBorder="1"/>
    <xf numFmtId="177" fontId="6" fillId="3" borderId="14" xfId="0" applyNumberFormat="1" applyFont="1" applyFill="1" applyBorder="1"/>
    <xf numFmtId="177" fontId="7" fillId="3" borderId="13" xfId="0" applyNumberFormat="1" applyFont="1" applyFill="1" applyBorder="1"/>
    <xf numFmtId="177" fontId="7" fillId="4" borderId="13" xfId="0" applyNumberFormat="1" applyFont="1" applyFill="1" applyBorder="1"/>
    <xf numFmtId="177" fontId="7" fillId="5" borderId="13" xfId="0" applyNumberFormat="1" applyFont="1" applyFill="1" applyBorder="1"/>
    <xf numFmtId="0" fontId="10" fillId="0" borderId="0" xfId="0" applyFont="1"/>
    <xf numFmtId="0" fontId="11" fillId="0" borderId="0" xfId="1" applyFont="1"/>
    <xf numFmtId="0" fontId="0" fillId="0" borderId="0" xfId="0" applyAlignment="1">
      <alignment wrapText="1"/>
    </xf>
    <xf numFmtId="0" fontId="2" fillId="0" borderId="0" xfId="0" applyFont="1" applyAlignment="1">
      <alignment wrapText="1"/>
    </xf>
    <xf numFmtId="176" fontId="2" fillId="3" borderId="2" xfId="0" applyNumberFormat="1" applyFont="1" applyFill="1" applyBorder="1" applyProtection="1">
      <protection locked="0"/>
    </xf>
    <xf numFmtId="0" fontId="0" fillId="0" borderId="5" xfId="0" applyBorder="1"/>
    <xf numFmtId="176" fontId="4" fillId="0" borderId="0" xfId="0" applyNumberFormat="1" applyFont="1"/>
    <xf numFmtId="176" fontId="2" fillId="3" borderId="0" xfId="0" applyNumberFormat="1" applyFont="1" applyFill="1" applyProtection="1">
      <protection locked="0"/>
    </xf>
    <xf numFmtId="0" fontId="0" fillId="0" borderId="4" xfId="0" applyBorder="1"/>
    <xf numFmtId="0" fontId="0" fillId="0" borderId="6" xfId="0" applyBorder="1"/>
    <xf numFmtId="0" fontId="0" fillId="0" borderId="7" xfId="0" applyBorder="1"/>
    <xf numFmtId="0" fontId="0" fillId="0" borderId="8" xfId="0" applyBorder="1"/>
    <xf numFmtId="0" fontId="12" fillId="0" borderId="10" xfId="0" applyFont="1" applyBorder="1"/>
    <xf numFmtId="0" fontId="2" fillId="0" borderId="9" xfId="0" applyFont="1" applyBorder="1"/>
    <xf numFmtId="0" fontId="2" fillId="0" borderId="11" xfId="0" applyFont="1" applyBorder="1"/>
    <xf numFmtId="0" fontId="2" fillId="0" borderId="1" xfId="0" applyFont="1" applyBorder="1"/>
    <xf numFmtId="0" fontId="0" fillId="0" borderId="2" xfId="0" applyBorder="1"/>
    <xf numFmtId="0" fontId="0" fillId="0" borderId="3" xfId="0" applyBorder="1"/>
    <xf numFmtId="0" fontId="0" fillId="4" borderId="2" xfId="0" applyFill="1" applyBorder="1" applyProtection="1">
      <protection locked="0"/>
    </xf>
    <xf numFmtId="0" fontId="0" fillId="4" borderId="0" xfId="0" applyFill="1" applyProtection="1">
      <protection locked="0"/>
    </xf>
    <xf numFmtId="0" fontId="14" fillId="0" borderId="0" xfId="0" applyFont="1"/>
    <xf numFmtId="0" fontId="0" fillId="4" borderId="7" xfId="0" applyFill="1" applyBorder="1" applyProtection="1">
      <protection locked="0"/>
    </xf>
    <xf numFmtId="176" fontId="2" fillId="4" borderId="0" xfId="0" applyNumberFormat="1" applyFont="1" applyFill="1"/>
    <xf numFmtId="0" fontId="2" fillId="0" borderId="10"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0" fontId="7" fillId="0" borderId="10" xfId="0" applyFont="1" applyBorder="1" applyAlignment="1">
      <alignment horizontal="center"/>
    </xf>
    <xf numFmtId="0" fontId="7" fillId="0" borderId="9" xfId="0" applyFont="1" applyBorder="1" applyAlignment="1">
      <alignment horizontal="center"/>
    </xf>
    <xf numFmtId="0" fontId="7" fillId="0" borderId="11" xfId="0" applyFont="1" applyBorder="1" applyAlignment="1">
      <alignment horizontal="center"/>
    </xf>
    <xf numFmtId="0" fontId="4" fillId="0" borderId="8" xfId="0" applyFont="1" applyBorder="1"/>
    <xf numFmtId="176" fontId="2" fillId="2" borderId="7" xfId="0" applyNumberFormat="1" applyFont="1" applyFill="1" applyBorder="1" applyProtection="1">
      <protection locked="0"/>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47625</xdr:rowOff>
    </xdr:from>
    <xdr:to>
      <xdr:col>0</xdr:col>
      <xdr:colOff>7108815</xdr:colOff>
      <xdr:row>64</xdr:row>
      <xdr:rowOff>104775</xdr:rowOff>
    </xdr:to>
    <xdr:pic>
      <xdr:nvPicPr>
        <xdr:cNvPr id="5" name="圖片 4">
          <a:extLst>
            <a:ext uri="{FF2B5EF4-FFF2-40B4-BE49-F238E27FC236}">
              <a16:creationId xmlns:a16="http://schemas.microsoft.com/office/drawing/2014/main" id="{8054208D-DE87-C212-DFDB-44279D202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86075"/>
          <a:ext cx="7108815" cy="10058400"/>
        </a:xfrm>
        <a:prstGeom prst="rect">
          <a:avLst/>
        </a:prstGeom>
      </xdr:spPr>
    </xdr:pic>
    <xdr:clientData/>
  </xdr:twoCellAnchor>
  <xdr:twoCellAnchor editAs="oneCell">
    <xdr:from>
      <xdr:col>0</xdr:col>
      <xdr:colOff>0</xdr:colOff>
      <xdr:row>66</xdr:row>
      <xdr:rowOff>0</xdr:rowOff>
    </xdr:from>
    <xdr:to>
      <xdr:col>0</xdr:col>
      <xdr:colOff>7108815</xdr:colOff>
      <xdr:row>116</xdr:row>
      <xdr:rowOff>57150</xdr:rowOff>
    </xdr:to>
    <xdr:pic>
      <xdr:nvPicPr>
        <xdr:cNvPr id="7" name="圖片 6">
          <a:extLst>
            <a:ext uri="{FF2B5EF4-FFF2-40B4-BE49-F238E27FC236}">
              <a16:creationId xmlns:a16="http://schemas.microsoft.com/office/drawing/2014/main" id="{4AEB0BEB-7B39-DC8F-8807-46135AB3FA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639675"/>
          <a:ext cx="7108815" cy="10058400"/>
        </a:xfrm>
        <a:prstGeom prst="rect">
          <a:avLst/>
        </a:prstGeom>
      </xdr:spPr>
    </xdr:pic>
    <xdr:clientData/>
  </xdr:twoCellAnchor>
  <xdr:twoCellAnchor editAs="oneCell">
    <xdr:from>
      <xdr:col>0</xdr:col>
      <xdr:colOff>0</xdr:colOff>
      <xdr:row>124</xdr:row>
      <xdr:rowOff>0</xdr:rowOff>
    </xdr:from>
    <xdr:to>
      <xdr:col>0</xdr:col>
      <xdr:colOff>7108815</xdr:colOff>
      <xdr:row>174</xdr:row>
      <xdr:rowOff>57150</xdr:rowOff>
    </xdr:to>
    <xdr:pic>
      <xdr:nvPicPr>
        <xdr:cNvPr id="9" name="圖片 8">
          <a:extLst>
            <a:ext uri="{FF2B5EF4-FFF2-40B4-BE49-F238E27FC236}">
              <a16:creationId xmlns:a16="http://schemas.microsoft.com/office/drawing/2014/main" id="{7DBABEC2-C2CA-D245-2269-5D1F4DF37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4888825"/>
          <a:ext cx="7108815"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aw.moj.gov.tw/LawClass/LawAll.aspx?pcode=D00600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D11" sqref="D11"/>
    </sheetView>
  </sheetViews>
  <sheetFormatPr defaultRowHeight="15.75" x14ac:dyDescent="0.25"/>
  <cols>
    <col min="1" max="1" width="11" bestFit="1" customWidth="1"/>
    <col min="2" max="2" width="12.7109375" bestFit="1" customWidth="1"/>
    <col min="3" max="3" width="30.5703125" bestFit="1" customWidth="1"/>
    <col min="4" max="4" width="31.5703125" style="1" customWidth="1"/>
    <col min="5" max="5" width="43.85546875" bestFit="1" customWidth="1"/>
    <col min="7" max="7" width="29.28515625" bestFit="1" customWidth="1"/>
    <col min="8" max="8" width="17.7109375" customWidth="1"/>
    <col min="9" max="9" width="12.5703125" bestFit="1" customWidth="1"/>
    <col min="10" max="10" width="17.7109375" customWidth="1"/>
    <col min="11" max="11" width="12.5703125" bestFit="1" customWidth="1"/>
  </cols>
  <sheetData>
    <row r="1" spans="1:11" ht="17.25" thickBot="1" x14ac:dyDescent="0.35">
      <c r="A1" s="89" t="s">
        <v>32</v>
      </c>
      <c r="B1" s="90"/>
      <c r="C1" s="90"/>
      <c r="D1" s="90"/>
      <c r="E1" s="91"/>
      <c r="G1" s="78" t="s">
        <v>50</v>
      </c>
      <c r="H1" s="79" t="s">
        <v>51</v>
      </c>
      <c r="I1" s="79" t="s">
        <v>52</v>
      </c>
      <c r="J1" s="79" t="s">
        <v>51</v>
      </c>
      <c r="K1" s="80" t="s">
        <v>52</v>
      </c>
    </row>
    <row r="2" spans="1:11" ht="16.5" x14ac:dyDescent="0.3">
      <c r="A2" s="11" t="s">
        <v>0</v>
      </c>
      <c r="B2" s="12" t="s">
        <v>9</v>
      </c>
      <c r="C2" s="12" t="s">
        <v>1</v>
      </c>
      <c r="D2" s="70"/>
      <c r="E2" s="13" t="s">
        <v>30</v>
      </c>
      <c r="G2" s="81" t="s">
        <v>53</v>
      </c>
      <c r="H2" s="84"/>
      <c r="I2" s="82">
        <f>ROUNDUP((資料欄!H2)/50,0)</f>
        <v>0</v>
      </c>
      <c r="J2" s="84"/>
      <c r="K2" s="83">
        <f>ROUNDUP((資料欄!J2)/50,0)</f>
        <v>0</v>
      </c>
    </row>
    <row r="3" spans="1:11" x14ac:dyDescent="0.25">
      <c r="A3" s="5"/>
      <c r="B3" s="3" t="s">
        <v>12</v>
      </c>
      <c r="C3" s="3" t="s">
        <v>55</v>
      </c>
      <c r="D3" s="88">
        <f>SUM(I2:I29,K2:K29)</f>
        <v>0</v>
      </c>
      <c r="E3" s="71" t="s">
        <v>54</v>
      </c>
      <c r="G3" s="74"/>
      <c r="H3" s="85"/>
      <c r="I3">
        <f>ROUNDUP((資料欄!H3)/50,0)</f>
        <v>0</v>
      </c>
      <c r="J3" s="85"/>
      <c r="K3" s="71">
        <f>ROUNDUP((資料欄!J3)/50,0)</f>
        <v>0</v>
      </c>
    </row>
    <row r="4" spans="1:11" ht="16.5" x14ac:dyDescent="0.3">
      <c r="A4" s="2" t="s">
        <v>2</v>
      </c>
      <c r="B4" s="3" t="s">
        <v>9</v>
      </c>
      <c r="C4" s="3" t="s">
        <v>6</v>
      </c>
      <c r="D4" s="72" t="s">
        <v>26</v>
      </c>
      <c r="E4" s="4" t="s">
        <v>7</v>
      </c>
      <c r="G4" s="74"/>
      <c r="H4" s="85"/>
      <c r="I4">
        <f>ROUNDUP((資料欄!H4)/50,0)</f>
        <v>0</v>
      </c>
      <c r="J4" s="85"/>
      <c r="K4" s="71">
        <f>ROUNDUP((資料欄!J4)/50,0)</f>
        <v>0</v>
      </c>
    </row>
    <row r="5" spans="1:11" x14ac:dyDescent="0.25">
      <c r="A5" s="5"/>
      <c r="B5" s="3"/>
      <c r="C5" s="3" t="s">
        <v>3</v>
      </c>
      <c r="D5" s="73"/>
      <c r="E5" s="4" t="s">
        <v>30</v>
      </c>
      <c r="G5" s="74"/>
      <c r="H5" s="85"/>
      <c r="I5">
        <f>ROUNDUP((資料欄!H5)/50,0)</f>
        <v>0</v>
      </c>
      <c r="J5" s="85"/>
      <c r="K5" s="71">
        <f>ROUNDUP((資料欄!J5)/50,0)</f>
        <v>0</v>
      </c>
    </row>
    <row r="6" spans="1:11" x14ac:dyDescent="0.25">
      <c r="A6" s="5"/>
      <c r="B6" s="3"/>
      <c r="C6" s="3" t="s">
        <v>4</v>
      </c>
      <c r="D6" s="73"/>
      <c r="E6" s="6" t="s">
        <v>10</v>
      </c>
      <c r="G6" s="74"/>
      <c r="H6" s="85"/>
      <c r="I6">
        <f>ROUNDUP((資料欄!H6)/50,0)</f>
        <v>0</v>
      </c>
      <c r="J6" s="85"/>
      <c r="K6" s="71">
        <f>ROUNDUP((資料欄!J6)/50,0)</f>
        <v>0</v>
      </c>
    </row>
    <row r="7" spans="1:11" x14ac:dyDescent="0.25">
      <c r="A7" s="5"/>
      <c r="B7" s="3"/>
      <c r="C7" s="3" t="s">
        <v>5</v>
      </c>
      <c r="D7" s="73"/>
      <c r="E7" s="4"/>
      <c r="G7" s="74"/>
      <c r="H7" s="85"/>
      <c r="I7">
        <f>ROUNDUP((資料欄!H7)/50,0)</f>
        <v>0</v>
      </c>
      <c r="J7" s="85"/>
      <c r="K7" s="71">
        <f>ROUNDUP((資料欄!J7)/50,0)</f>
        <v>0</v>
      </c>
    </row>
    <row r="8" spans="1:11" x14ac:dyDescent="0.25">
      <c r="A8" s="5"/>
      <c r="B8" s="3"/>
      <c r="C8" s="7">
        <v>10000</v>
      </c>
      <c r="D8" s="73"/>
      <c r="E8" s="4"/>
      <c r="G8" s="74"/>
      <c r="H8" s="85"/>
      <c r="I8">
        <f>ROUNDUP((資料欄!H8)/50,0)</f>
        <v>0</v>
      </c>
      <c r="J8" s="85"/>
      <c r="K8" s="71">
        <f>ROUNDUP((資料欄!J8)/50,0)</f>
        <v>0</v>
      </c>
    </row>
    <row r="9" spans="1:11" x14ac:dyDescent="0.25">
      <c r="A9" s="5"/>
      <c r="B9" s="3"/>
      <c r="C9" s="3" t="s">
        <v>8</v>
      </c>
      <c r="D9" s="73"/>
      <c r="E9" s="4" t="s">
        <v>44</v>
      </c>
      <c r="G9" s="74"/>
      <c r="H9" s="85"/>
      <c r="I9">
        <f>ROUNDUP((資料欄!H9)/50,0)</f>
        <v>0</v>
      </c>
      <c r="J9" s="85"/>
      <c r="K9" s="71">
        <f>ROUNDUP((資料欄!J9)/50,0)</f>
        <v>0</v>
      </c>
    </row>
    <row r="10" spans="1:11" x14ac:dyDescent="0.25">
      <c r="A10" s="5"/>
      <c r="B10" s="3" t="s">
        <v>12</v>
      </c>
      <c r="C10" s="3" t="s">
        <v>8</v>
      </c>
      <c r="D10" s="73"/>
      <c r="E10" s="4" t="s">
        <v>44</v>
      </c>
      <c r="G10" s="74"/>
      <c r="H10" s="85"/>
      <c r="I10">
        <f>ROUNDUP((資料欄!H10)/50,0)</f>
        <v>0</v>
      </c>
      <c r="J10" s="85"/>
      <c r="K10" s="71">
        <f>ROUNDUP((資料欄!J10)/50,0)</f>
        <v>0</v>
      </c>
    </row>
    <row r="11" spans="1:11" ht="17.25" thickBot="1" x14ac:dyDescent="0.35">
      <c r="A11" s="2" t="s">
        <v>56</v>
      </c>
      <c r="B11" s="9" t="s">
        <v>57</v>
      </c>
      <c r="C11" s="9" t="s">
        <v>58</v>
      </c>
      <c r="D11" s="96"/>
      <c r="E11" s="95" t="s">
        <v>59</v>
      </c>
      <c r="G11" s="74"/>
      <c r="H11" s="85"/>
      <c r="I11">
        <f>ROUNDUP((資料欄!H11)/50,0)</f>
        <v>0</v>
      </c>
      <c r="J11" s="85"/>
      <c r="K11" s="71">
        <f>ROUNDUP((資料欄!J11)/50,0)</f>
        <v>0</v>
      </c>
    </row>
    <row r="12" spans="1:11" ht="16.5" thickBot="1" x14ac:dyDescent="0.3">
      <c r="A12" s="89" t="s">
        <v>11</v>
      </c>
      <c r="B12" s="90"/>
      <c r="C12" s="90"/>
      <c r="D12" s="90"/>
      <c r="E12" s="91"/>
      <c r="G12" s="74"/>
      <c r="H12" s="85"/>
      <c r="I12">
        <f>ROUNDUP((資料欄!H12)/50,0)</f>
        <v>0</v>
      </c>
      <c r="J12" s="85"/>
      <c r="K12" s="71">
        <f>ROUNDUP((資料欄!J12)/50,0)</f>
        <v>0</v>
      </c>
    </row>
    <row r="13" spans="1:11" ht="16.5" x14ac:dyDescent="0.3">
      <c r="A13" s="11" t="s">
        <v>18</v>
      </c>
      <c r="B13" s="12" t="s">
        <v>13</v>
      </c>
      <c r="C13" s="12" t="s">
        <v>16</v>
      </c>
      <c r="D13" s="47" t="s">
        <v>26</v>
      </c>
      <c r="E13" s="13"/>
      <c r="G13" s="74"/>
      <c r="H13" s="85"/>
      <c r="I13">
        <f>ROUNDUP((資料欄!H13)/50,0)</f>
        <v>0</v>
      </c>
      <c r="J13" s="85"/>
      <c r="K13" s="71">
        <f>ROUNDUP((資料欄!J13)/50,0)</f>
        <v>0</v>
      </c>
    </row>
    <row r="14" spans="1:11" x14ac:dyDescent="0.25">
      <c r="A14" s="5"/>
      <c r="B14" s="3"/>
      <c r="C14" s="3" t="s">
        <v>3</v>
      </c>
      <c r="D14" s="14"/>
      <c r="E14" s="4"/>
      <c r="G14" s="74"/>
      <c r="H14" s="85"/>
      <c r="I14">
        <f>ROUNDUP((資料欄!H14)/50,0)</f>
        <v>0</v>
      </c>
      <c r="J14" s="85"/>
      <c r="K14" s="71">
        <f>ROUNDUP((資料欄!J14)/50,0)</f>
        <v>0</v>
      </c>
    </row>
    <row r="15" spans="1:11" x14ac:dyDescent="0.25">
      <c r="A15" s="5"/>
      <c r="B15" s="3"/>
      <c r="C15" s="3" t="s">
        <v>4</v>
      </c>
      <c r="D15" s="14"/>
      <c r="E15" s="4"/>
      <c r="G15" s="74"/>
      <c r="H15" s="85"/>
      <c r="I15">
        <f>ROUNDUP((資料欄!H15)/50,0)</f>
        <v>0</v>
      </c>
      <c r="J15" s="85"/>
      <c r="K15" s="71">
        <f>ROUNDUP((資料欄!J15)/50,0)</f>
        <v>0</v>
      </c>
    </row>
    <row r="16" spans="1:11" x14ac:dyDescent="0.25">
      <c r="A16" s="5"/>
      <c r="B16" s="3"/>
      <c r="C16" s="3" t="s">
        <v>5</v>
      </c>
      <c r="D16" s="14"/>
      <c r="E16" s="4"/>
      <c r="G16" s="74"/>
      <c r="H16" s="85"/>
      <c r="I16">
        <f>ROUNDUP((資料欄!H16)/50,0)</f>
        <v>0</v>
      </c>
      <c r="J16" s="85"/>
      <c r="K16" s="71">
        <f>ROUNDUP((資料欄!J16)/50,0)</f>
        <v>0</v>
      </c>
    </row>
    <row r="17" spans="1:11" x14ac:dyDescent="0.25">
      <c r="A17" s="5"/>
      <c r="B17" s="3"/>
      <c r="C17" s="7">
        <v>10000</v>
      </c>
      <c r="D17" s="14"/>
      <c r="E17" s="4"/>
      <c r="G17" s="74"/>
      <c r="H17" s="85"/>
      <c r="I17">
        <f>ROUNDUP((資料欄!H17)/50,0)</f>
        <v>0</v>
      </c>
      <c r="J17" s="85"/>
      <c r="K17" s="71">
        <f>ROUNDUP((資料欄!J17)/50,0)</f>
        <v>0</v>
      </c>
    </row>
    <row r="18" spans="1:11" ht="16.5" thickBot="1" x14ac:dyDescent="0.3">
      <c r="A18" s="8"/>
      <c r="B18" s="9" t="s">
        <v>14</v>
      </c>
      <c r="C18" s="9" t="s">
        <v>15</v>
      </c>
      <c r="D18" s="15"/>
      <c r="E18" s="10"/>
      <c r="G18" s="74"/>
      <c r="H18" s="85"/>
      <c r="I18">
        <f>ROUNDUP((資料欄!H18)/50,0)</f>
        <v>0</v>
      </c>
      <c r="J18" s="85"/>
      <c r="K18" s="71">
        <f>ROUNDUP((資料欄!J18)/50,0)</f>
        <v>0</v>
      </c>
    </row>
    <row r="19" spans="1:11" ht="16.5" x14ac:dyDescent="0.3">
      <c r="A19" s="11" t="s">
        <v>19</v>
      </c>
      <c r="B19" s="12" t="s">
        <v>13</v>
      </c>
      <c r="C19" s="12" t="s">
        <v>16</v>
      </c>
      <c r="D19" s="47" t="s">
        <v>26</v>
      </c>
      <c r="E19" s="13"/>
      <c r="G19" s="74"/>
      <c r="H19" s="85"/>
      <c r="I19">
        <f>ROUNDUP((資料欄!H19)/50,0)</f>
        <v>0</v>
      </c>
      <c r="J19" s="85"/>
      <c r="K19" s="71">
        <f>ROUNDUP((資料欄!J19)/50,0)</f>
        <v>0</v>
      </c>
    </row>
    <row r="20" spans="1:11" x14ac:dyDescent="0.25">
      <c r="A20" s="5"/>
      <c r="B20" s="3"/>
      <c r="C20" s="3" t="s">
        <v>3</v>
      </c>
      <c r="D20" s="16"/>
      <c r="E20" s="4"/>
      <c r="G20" s="74"/>
      <c r="H20" s="85"/>
      <c r="I20">
        <f>ROUNDUP((資料欄!H20)/50,0)</f>
        <v>0</v>
      </c>
      <c r="J20" s="85"/>
      <c r="K20" s="71">
        <f>ROUNDUP((資料欄!J20)/50,0)</f>
        <v>0</v>
      </c>
    </row>
    <row r="21" spans="1:11" x14ac:dyDescent="0.25">
      <c r="A21" s="5"/>
      <c r="B21" s="3"/>
      <c r="C21" s="3" t="s">
        <v>4</v>
      </c>
      <c r="D21" s="16"/>
      <c r="E21" s="4"/>
      <c r="G21" s="74"/>
      <c r="H21" s="85"/>
      <c r="I21">
        <f>ROUNDUP((資料欄!H21)/50,0)</f>
        <v>0</v>
      </c>
      <c r="J21" s="85"/>
      <c r="K21" s="71">
        <f>ROUNDUP((資料欄!J21)/50,0)</f>
        <v>0</v>
      </c>
    </row>
    <row r="22" spans="1:11" x14ac:dyDescent="0.25">
      <c r="A22" s="5"/>
      <c r="B22" s="3"/>
      <c r="C22" s="3" t="s">
        <v>5</v>
      </c>
      <c r="D22" s="16"/>
      <c r="E22" s="4"/>
      <c r="G22" s="74"/>
      <c r="H22" s="85"/>
      <c r="I22">
        <f>ROUNDUP((資料欄!H22)/50,0)</f>
        <v>0</v>
      </c>
      <c r="J22" s="85"/>
      <c r="K22" s="71">
        <f>ROUNDUP((資料欄!J22)/50,0)</f>
        <v>0</v>
      </c>
    </row>
    <row r="23" spans="1:11" x14ac:dyDescent="0.25">
      <c r="A23" s="5"/>
      <c r="B23" s="3"/>
      <c r="C23" s="7">
        <v>10000</v>
      </c>
      <c r="D23" s="16"/>
      <c r="E23" s="4"/>
      <c r="G23" s="74"/>
      <c r="H23" s="85"/>
      <c r="I23">
        <f>ROUNDUP((資料欄!H23)/50,0)</f>
        <v>0</v>
      </c>
      <c r="J23" s="85"/>
      <c r="K23" s="71">
        <f>ROUNDUP((資料欄!J23)/50,0)</f>
        <v>0</v>
      </c>
    </row>
    <row r="24" spans="1:11" ht="16.5" thickBot="1" x14ac:dyDescent="0.3">
      <c r="A24" s="8"/>
      <c r="B24" s="9" t="s">
        <v>14</v>
      </c>
      <c r="C24" s="9" t="s">
        <v>15</v>
      </c>
      <c r="D24" s="17"/>
      <c r="E24" s="10"/>
      <c r="G24" s="74"/>
      <c r="H24" s="85"/>
      <c r="I24">
        <f>ROUNDUP((資料欄!H24)/50,0)</f>
        <v>0</v>
      </c>
      <c r="J24" s="85"/>
      <c r="K24" s="71">
        <f>ROUNDUP((資料欄!J24)/50,0)</f>
        <v>0</v>
      </c>
    </row>
    <row r="25" spans="1:11" ht="16.5" x14ac:dyDescent="0.3">
      <c r="A25" s="11" t="s">
        <v>20</v>
      </c>
      <c r="B25" s="12" t="s">
        <v>13</v>
      </c>
      <c r="C25" s="12" t="s">
        <v>16</v>
      </c>
      <c r="D25" s="47" t="s">
        <v>26</v>
      </c>
      <c r="E25" s="13"/>
      <c r="G25" s="74"/>
      <c r="H25" s="85"/>
      <c r="I25">
        <f>ROUNDUP((資料欄!H25)/50,0)</f>
        <v>0</v>
      </c>
      <c r="J25" s="85"/>
      <c r="K25" s="71">
        <f>ROUNDUP((資料欄!J25)/50,0)</f>
        <v>0</v>
      </c>
    </row>
    <row r="26" spans="1:11" x14ac:dyDescent="0.25">
      <c r="A26" s="5"/>
      <c r="B26" s="3"/>
      <c r="C26" s="3" t="s">
        <v>3</v>
      </c>
      <c r="D26" s="18"/>
      <c r="E26" s="4"/>
      <c r="G26" s="74"/>
      <c r="H26" s="85"/>
      <c r="I26">
        <f>ROUNDUP((資料欄!H26)/50,0)</f>
        <v>0</v>
      </c>
      <c r="J26" s="85"/>
      <c r="K26" s="71">
        <f>ROUNDUP((資料欄!J26)/50,0)</f>
        <v>0</v>
      </c>
    </row>
    <row r="27" spans="1:11" x14ac:dyDescent="0.25">
      <c r="A27" s="5"/>
      <c r="B27" s="3"/>
      <c r="C27" s="3" t="s">
        <v>4</v>
      </c>
      <c r="D27" s="18"/>
      <c r="E27" s="4"/>
      <c r="G27" s="74"/>
      <c r="H27" s="85"/>
      <c r="I27">
        <f>ROUNDUP((資料欄!H27)/50,0)</f>
        <v>0</v>
      </c>
      <c r="J27" s="85"/>
      <c r="K27" s="71">
        <f>ROUNDUP((資料欄!J27)/50,0)</f>
        <v>0</v>
      </c>
    </row>
    <row r="28" spans="1:11" x14ac:dyDescent="0.25">
      <c r="A28" s="5"/>
      <c r="B28" s="3"/>
      <c r="C28" s="3" t="s">
        <v>5</v>
      </c>
      <c r="D28" s="18"/>
      <c r="E28" s="4"/>
      <c r="G28" s="74"/>
      <c r="H28" s="85"/>
      <c r="I28">
        <f>ROUNDUP((資料欄!H28)/50,0)</f>
        <v>0</v>
      </c>
      <c r="J28" s="85"/>
      <c r="K28" s="71">
        <f>ROUNDUP((資料欄!J28)/50,0)</f>
        <v>0</v>
      </c>
    </row>
    <row r="29" spans="1:11" ht="16.5" thickBot="1" x14ac:dyDescent="0.3">
      <c r="A29" s="5"/>
      <c r="B29" s="3"/>
      <c r="C29" s="7">
        <v>10000</v>
      </c>
      <c r="D29" s="18"/>
      <c r="E29" s="4"/>
      <c r="G29" s="75"/>
      <c r="H29" s="87"/>
      <c r="I29" s="76">
        <f>ROUNDUP((資料欄!H29)/50,0)</f>
        <v>0</v>
      </c>
      <c r="J29" s="87"/>
      <c r="K29" s="77">
        <f>ROUNDUP((資料欄!J29)/50,0)</f>
        <v>0</v>
      </c>
    </row>
    <row r="30" spans="1:11" ht="16.5" thickBot="1" x14ac:dyDescent="0.3">
      <c r="A30" s="8"/>
      <c r="B30" s="9" t="s">
        <v>14</v>
      </c>
      <c r="C30" s="9" t="s">
        <v>15</v>
      </c>
      <c r="D30" s="19"/>
      <c r="E30" s="10"/>
      <c r="I30" s="86"/>
    </row>
  </sheetData>
  <sheetProtection algorithmName="SHA-512" hashValue="jckItxUJmUpZ34CnU+Krtj98c4MLMS1pbu0V7ieErlk5G1eME1ATd3c9CHivBgh4L9nn1u2EmbR3HwVmM2Bmqg==" saltValue="g8jEPRHrwyIqkKQHq3eKcg==" spinCount="100000" sheet="1" objects="1" scenarios="1" selectLockedCells="1"/>
  <protectedRanges>
    <protectedRange sqref="D26:D30 D5:D10 D14:D18 D20:D24 D2:D3" name="範圍1"/>
  </protectedRanges>
  <mergeCells count="2">
    <mergeCell ref="A1:E1"/>
    <mergeCell ref="A12:E1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7EFF-8F6C-4298-94E4-258FCF7193A7}">
  <dimension ref="A1:D17"/>
  <sheetViews>
    <sheetView zoomScaleNormal="100" workbookViewId="0">
      <selection activeCell="D14" sqref="D14"/>
    </sheetView>
  </sheetViews>
  <sheetFormatPr defaultRowHeight="15.75" x14ac:dyDescent="0.25"/>
  <cols>
    <col min="1" max="1" width="31.5703125" bestFit="1" customWidth="1"/>
    <col min="2" max="2" width="14.28515625" bestFit="1" customWidth="1"/>
    <col min="3" max="3" width="46.42578125" customWidth="1"/>
    <col min="4" max="4" width="55.140625" customWidth="1"/>
  </cols>
  <sheetData>
    <row r="1" spans="1:4" ht="27.75" thickBot="1" x14ac:dyDescent="0.5">
      <c r="A1" s="92" t="s">
        <v>17</v>
      </c>
      <c r="B1" s="93"/>
      <c r="C1" s="94"/>
    </row>
    <row r="2" spans="1:4" ht="27" x14ac:dyDescent="0.45">
      <c r="A2" s="31" t="s">
        <v>21</v>
      </c>
      <c r="B2" s="20" t="s">
        <v>9</v>
      </c>
      <c r="C2" s="21">
        <f>(資料欄!D2)*4000</f>
        <v>0</v>
      </c>
    </row>
    <row r="3" spans="1:4" ht="27" x14ac:dyDescent="0.45">
      <c r="A3" s="32"/>
      <c r="B3" s="22" t="s">
        <v>12</v>
      </c>
      <c r="C3" s="23">
        <f>資料欄!D3*1000</f>
        <v>0</v>
      </c>
    </row>
    <row r="4" spans="1:4" ht="27" x14ac:dyDescent="0.45">
      <c r="A4" s="32" t="s">
        <v>22</v>
      </c>
      <c r="B4" s="22" t="s">
        <v>9</v>
      </c>
      <c r="C4" s="23">
        <f>(資料欄!D5)*2500+(資料欄!D6)*3000+(資料欄!D7)*3500+(資料欄!D8)*4000+ROUNDUP(資料欄!D9/5,0)*1000</f>
        <v>0</v>
      </c>
    </row>
    <row r="5" spans="1:4" ht="27" x14ac:dyDescent="0.45">
      <c r="A5" s="32"/>
      <c r="B5" s="22" t="s">
        <v>12</v>
      </c>
      <c r="C5" s="23">
        <f>資料欄!D10*200</f>
        <v>0</v>
      </c>
    </row>
    <row r="6" spans="1:4" ht="27.75" thickBot="1" x14ac:dyDescent="0.5">
      <c r="A6" s="33" t="s">
        <v>23</v>
      </c>
      <c r="B6" s="34" t="s">
        <v>24</v>
      </c>
      <c r="C6" s="24">
        <f>SUM(C2:C5)</f>
        <v>0</v>
      </c>
    </row>
    <row r="7" spans="1:4" ht="27.75" thickBot="1" x14ac:dyDescent="0.5">
      <c r="A7" s="33" t="s">
        <v>57</v>
      </c>
      <c r="B7" s="34" t="s">
        <v>24</v>
      </c>
      <c r="C7" s="24">
        <f>(資料欄!D11-1)*20</f>
        <v>-20</v>
      </c>
    </row>
    <row r="8" spans="1:4" ht="27.75" thickBot="1" x14ac:dyDescent="0.5">
      <c r="A8" s="92" t="s">
        <v>25</v>
      </c>
      <c r="B8" s="93"/>
      <c r="C8" s="94"/>
    </row>
    <row r="9" spans="1:4" ht="27" x14ac:dyDescent="0.45">
      <c r="A9" s="35" t="s">
        <v>18</v>
      </c>
      <c r="B9" s="25" t="s">
        <v>13</v>
      </c>
      <c r="C9" s="59">
        <f>(資料欄!D14*1500)+(資料欄!D15*2000)+(資料欄!D16*2500)+(資料欄!D17*3000)</f>
        <v>0</v>
      </c>
      <c r="D9" s="56"/>
    </row>
    <row r="10" spans="1:4" ht="27" x14ac:dyDescent="0.45">
      <c r="A10" s="36"/>
      <c r="B10" s="26" t="s">
        <v>14</v>
      </c>
      <c r="C10" s="48">
        <f>資料欄!D18*500</f>
        <v>0</v>
      </c>
      <c r="D10" s="63" t="s">
        <v>31</v>
      </c>
    </row>
    <row r="11" spans="1:4" ht="27.75" thickBot="1" x14ac:dyDescent="0.5">
      <c r="A11" s="41" t="s">
        <v>27</v>
      </c>
      <c r="B11" s="42" t="s">
        <v>24</v>
      </c>
      <c r="C11" s="49">
        <f>SUM(C9:C10)</f>
        <v>0</v>
      </c>
      <c r="D11" s="62">
        <f>C11/2</f>
        <v>0</v>
      </c>
    </row>
    <row r="12" spans="1:4" ht="27" x14ac:dyDescent="0.45">
      <c r="A12" s="37" t="s">
        <v>19</v>
      </c>
      <c r="B12" s="27" t="s">
        <v>13</v>
      </c>
      <c r="C12" s="50">
        <f>(資料欄!D20*1500)+(資料欄!D21*2000)+(資料欄!D22*2500)+(資料欄!D23*3000)</f>
        <v>0</v>
      </c>
      <c r="D12" s="60"/>
    </row>
    <row r="13" spans="1:4" ht="27" x14ac:dyDescent="0.45">
      <c r="A13" s="38"/>
      <c r="B13" s="28" t="s">
        <v>14</v>
      </c>
      <c r="C13" s="51">
        <f>資料欄!D24*500</f>
        <v>0</v>
      </c>
      <c r="D13" s="64" t="s">
        <v>31</v>
      </c>
    </row>
    <row r="14" spans="1:4" ht="27.75" thickBot="1" x14ac:dyDescent="0.5">
      <c r="A14" s="43" t="s">
        <v>28</v>
      </c>
      <c r="B14" s="44" t="s">
        <v>24</v>
      </c>
      <c r="C14" s="52">
        <f>SUM(C12:C13)</f>
        <v>0</v>
      </c>
      <c r="D14" s="61">
        <f>C14/2</f>
        <v>0</v>
      </c>
    </row>
    <row r="15" spans="1:4" ht="27" x14ac:dyDescent="0.45">
      <c r="A15" s="39" t="s">
        <v>20</v>
      </c>
      <c r="B15" s="29" t="s">
        <v>13</v>
      </c>
      <c r="C15" s="53">
        <f>(資料欄!D26*1500)+(資料欄!D27*2000)+(資料欄!D28*2500)+(資料欄!D29*3000)</f>
        <v>0</v>
      </c>
      <c r="D15" s="57"/>
    </row>
    <row r="16" spans="1:4" ht="27" x14ac:dyDescent="0.45">
      <c r="A16" s="40"/>
      <c r="B16" s="30" t="s">
        <v>14</v>
      </c>
      <c r="C16" s="54">
        <f>資料欄!D30*500</f>
        <v>0</v>
      </c>
      <c r="D16" s="65" t="s">
        <v>31</v>
      </c>
    </row>
    <row r="17" spans="1:4" ht="27.75" thickBot="1" x14ac:dyDescent="0.5">
      <c r="A17" s="45" t="s">
        <v>29</v>
      </c>
      <c r="B17" s="46" t="s">
        <v>24</v>
      </c>
      <c r="C17" s="55">
        <f>SUM(C15:C16)</f>
        <v>0</v>
      </c>
      <c r="D17" s="58">
        <f>C17/2</f>
        <v>0</v>
      </c>
    </row>
  </sheetData>
  <sheetProtection algorithmName="SHA-512" hashValue="mYJKLt6h3s1kGmmz/ewuWmuOO6enmO7yYzckSItcFHI1WOOthsa1SK8XzkWak25puiLdmiXHV82o8hY5x9hDZQ==" saltValue="/4KHU9Tuzxe5WpLvg9GXqQ==" spinCount="100000" sheet="1" objects="1" scenarios="1"/>
  <mergeCells count="2">
    <mergeCell ref="A1:C1"/>
    <mergeCell ref="A8:C8"/>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775C-A3CA-4EC4-902D-ECABC8F8725F}">
  <dimension ref="A1:A130"/>
  <sheetViews>
    <sheetView topLeftCell="A106" workbookViewId="0">
      <selection activeCell="A122" sqref="A122"/>
    </sheetView>
  </sheetViews>
  <sheetFormatPr defaultRowHeight="15.75" x14ac:dyDescent="0.25"/>
  <cols>
    <col min="1" max="1" width="159.7109375" bestFit="1" customWidth="1"/>
  </cols>
  <sheetData>
    <row r="1" spans="1:1" x14ac:dyDescent="0.25">
      <c r="A1" s="67" t="s">
        <v>33</v>
      </c>
    </row>
    <row r="2" spans="1:1" x14ac:dyDescent="0.25">
      <c r="A2" s="3"/>
    </row>
    <row r="3" spans="1:1" x14ac:dyDescent="0.25">
      <c r="A3" s="3" t="s">
        <v>36</v>
      </c>
    </row>
    <row r="4" spans="1:1" x14ac:dyDescent="0.25">
      <c r="A4" s="3" t="s">
        <v>34</v>
      </c>
    </row>
    <row r="5" spans="1:1" ht="16.5" x14ac:dyDescent="0.3">
      <c r="A5" s="3" t="s">
        <v>37</v>
      </c>
    </row>
    <row r="6" spans="1:1" ht="16.5" x14ac:dyDescent="0.3">
      <c r="A6" s="3" t="s">
        <v>38</v>
      </c>
    </row>
    <row r="7" spans="1:1" ht="16.5" x14ac:dyDescent="0.3">
      <c r="A7" s="3" t="s">
        <v>39</v>
      </c>
    </row>
    <row r="8" spans="1:1" x14ac:dyDescent="0.25">
      <c r="A8" s="3" t="s">
        <v>35</v>
      </c>
    </row>
    <row r="9" spans="1:1" x14ac:dyDescent="0.25">
      <c r="A9" s="3" t="s">
        <v>45</v>
      </c>
    </row>
    <row r="10" spans="1:1" x14ac:dyDescent="0.25">
      <c r="A10" s="3" t="s">
        <v>48</v>
      </c>
    </row>
    <row r="11" spans="1:1" ht="16.5" x14ac:dyDescent="0.25">
      <c r="A11" s="66" t="s">
        <v>47</v>
      </c>
    </row>
    <row r="12" spans="1:1" x14ac:dyDescent="0.25">
      <c r="A12" s="3" t="s">
        <v>46</v>
      </c>
    </row>
    <row r="13" spans="1:1" x14ac:dyDescent="0.25">
      <c r="A13" s="3"/>
    </row>
    <row r="14" spans="1:1" x14ac:dyDescent="0.25">
      <c r="A14" s="68"/>
    </row>
    <row r="66" spans="1:1" x14ac:dyDescent="0.25">
      <c r="A66" s="3"/>
    </row>
    <row r="119" spans="1:1" x14ac:dyDescent="0.25">
      <c r="A119" s="3" t="s">
        <v>49</v>
      </c>
    </row>
    <row r="120" spans="1:1" x14ac:dyDescent="0.25">
      <c r="A120" s="69" t="s">
        <v>40</v>
      </c>
    </row>
    <row r="121" spans="1:1" ht="33" x14ac:dyDescent="0.3">
      <c r="A121" s="69" t="s">
        <v>41</v>
      </c>
    </row>
    <row r="122" spans="1:1" ht="33" x14ac:dyDescent="0.3">
      <c r="A122" s="69" t="s">
        <v>42</v>
      </c>
    </row>
    <row r="123" spans="1:1" ht="32.25" x14ac:dyDescent="0.25">
      <c r="A123" s="69" t="s">
        <v>43</v>
      </c>
    </row>
    <row r="130" spans="1:1" x14ac:dyDescent="0.25">
      <c r="A130" s="3"/>
    </row>
  </sheetData>
  <phoneticPr fontId="1" type="noConversion"/>
  <hyperlinks>
    <hyperlink ref="A1" r:id="rId1" display="https://law.moj.gov.tw/LawClass/LawAll.aspx?pcode=D0060046" xr:uid="{EE4D181B-9DF4-418D-B320-8081E2FEE3A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資料欄</vt:lpstr>
      <vt:lpstr>結果</vt:lpstr>
      <vt:lpstr>相關規定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林威帆</dc:creator>
  <cp:lastModifiedBy>林威帆</cp:lastModifiedBy>
  <dcterms:created xsi:type="dcterms:W3CDTF">2015-06-05T18:19:34Z</dcterms:created>
  <dcterms:modified xsi:type="dcterms:W3CDTF">2026-07-21T02:05:51Z</dcterms:modified>
</cp:coreProperties>
</file>